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13_ncr:1_{D6498C03-85C4-42A0-9FEB-B0589C825BF8}" xr6:coauthVersionLast="47" xr6:coauthVersionMax="47" xr10:uidLastSave="{00000000-0000-0000-0000-000000000000}"/>
  <bookViews>
    <workbookView xWindow="-110" yWindow="-110" windowWidth="19420" windowHeight="10300" firstSheet="1" activeTab="8" xr2:uid="{00000000-000D-0000-FFFF-FFFF00000000}"/>
  </bookViews>
  <sheets>
    <sheet name="Employee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</sheets>
  <definedNames>
    <definedName name="_xlnm._FilterDatabase" localSheetId="1" hidden="1">Sheet1!$A$1:$F$8</definedName>
    <definedName name="_xlnm._FilterDatabase" localSheetId="6" hidden="1">Sheet6!$A$1:$D$6</definedName>
    <definedName name="_xlnm.Criteria" localSheetId="6">Sheet6!$E$10:$F$11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9" l="1"/>
  <c r="D6" i="9"/>
  <c r="D3" i="9"/>
  <c r="D10" i="9" s="1"/>
  <c r="B10" i="6"/>
  <c r="B9" i="6"/>
  <c r="B20" i="5"/>
  <c r="B19" i="5"/>
  <c r="B18" i="5"/>
  <c r="B17" i="5"/>
  <c r="D7" i="5"/>
  <c r="C8" i="5"/>
  <c r="C7" i="5"/>
  <c r="H3" i="5"/>
  <c r="H4" i="5"/>
  <c r="H5" i="5"/>
  <c r="H6" i="5"/>
  <c r="H2" i="5"/>
  <c r="G3" i="5" a="1"/>
  <c r="G3" i="5"/>
  <c r="G4" i="5" a="1"/>
  <c r="G4" i="5"/>
  <c r="G5" i="5" a="1"/>
  <c r="G5" i="5"/>
  <c r="G6" i="5" a="1"/>
  <c r="G6" i="5" s="1"/>
  <c r="G2" i="5" a="1"/>
  <c r="G2" i="5" s="1"/>
  <c r="F3" i="5" a="1"/>
  <c r="F3" i="5" s="1"/>
  <c r="F4" i="5" a="1"/>
  <c r="F4" i="5"/>
  <c r="F5" i="5" a="1"/>
  <c r="F5" i="5" s="1"/>
  <c r="F6" i="5" a="1"/>
  <c r="F6" i="5" s="1"/>
  <c r="F2" i="5" a="1"/>
  <c r="F2" i="5" s="1"/>
  <c r="E3" i="5"/>
  <c r="E4" i="5"/>
  <c r="E5" i="5"/>
  <c r="E6" i="5"/>
  <c r="E2" i="5"/>
  <c r="N3" i="4"/>
  <c r="N4" i="4"/>
  <c r="N5" i="4"/>
  <c r="N6" i="4"/>
  <c r="N2" i="4"/>
  <c r="D21" i="4"/>
  <c r="F15" i="4"/>
  <c r="D18" i="4"/>
  <c r="E15" i="4"/>
  <c r="B15" i="4"/>
  <c r="B17" i="4"/>
  <c r="B16" i="4"/>
  <c r="K3" i="4"/>
  <c r="K4" i="4"/>
  <c r="K5" i="4"/>
  <c r="K6" i="4"/>
  <c r="K2" i="4"/>
  <c r="J3" i="4"/>
  <c r="J4" i="4"/>
  <c r="J5" i="4"/>
  <c r="J6" i="4"/>
  <c r="J2" i="4"/>
  <c r="I3" i="4"/>
  <c r="I4" i="4"/>
  <c r="I5" i="4"/>
  <c r="I6" i="4"/>
  <c r="I2" i="4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F2" i="4"/>
  <c r="E3" i="4"/>
  <c r="E4" i="4"/>
  <c r="E5" i="4"/>
  <c r="E6" i="4"/>
  <c r="E2" i="4"/>
  <c r="B11" i="4"/>
  <c r="B10" i="4"/>
  <c r="B9" i="4"/>
  <c r="L15" i="2"/>
  <c r="L14" i="2"/>
  <c r="L13" i="2"/>
  <c r="L12" i="2"/>
  <c r="L11" i="2"/>
  <c r="G3" i="2"/>
  <c r="H3" i="2" s="1"/>
  <c r="G4" i="2"/>
  <c r="H4" i="2" s="1"/>
  <c r="G5" i="2"/>
  <c r="J5" i="2" s="1"/>
  <c r="G6" i="2"/>
  <c r="H6" i="2" s="1"/>
  <c r="G2" i="2"/>
  <c r="H2" i="2" s="1"/>
  <c r="B3" i="2"/>
  <c r="C3" i="2" s="1"/>
  <c r="I3" i="2" s="1"/>
  <c r="B4" i="2"/>
  <c r="C4" i="2" s="1"/>
  <c r="I4" i="2" s="1"/>
  <c r="B5" i="2"/>
  <c r="C5" i="2" s="1"/>
  <c r="I5" i="2" s="1"/>
  <c r="B6" i="2"/>
  <c r="C6" i="2" s="1"/>
  <c r="I6" i="2" s="1"/>
  <c r="B2" i="2"/>
  <c r="C2" i="2" s="1"/>
  <c r="I2" i="2" s="1"/>
  <c r="J2" i="2" l="1"/>
  <c r="J6" i="2"/>
  <c r="J4" i="2"/>
  <c r="H5" i="2"/>
  <c r="J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<sst xmlns="http://schemas.openxmlformats.org/spreadsheetml/2006/main" count="230" uniqueCount="104">
  <si>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</si>
  <si>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</si>
  <si>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</si>
  <si>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</si>
  <si>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</si>
  <si>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</si>
  <si>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</si>
  <si>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</si>
  <si>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</si>
  <si>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</si>
  <si>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</si>
  <si>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</si>
  <si>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</si>
  <si>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</si>
  <si>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</si>
  <si>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</si>
  <si>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</si>
  <si>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</si>
  <si>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</si>
  <si>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</si>
  <si>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</si>
  <si>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</si>
  <si>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</si>
  <si>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>Boob Brown</t>
  </si>
  <si>
    <t>Boob@example.com</t>
  </si>
  <si>
    <t>John   Doe</t>
  </si>
  <si>
    <t xml:space="preserve">   jane   smith</t>
  </si>
  <si>
    <t xml:space="preserve"> ALICE   JOHNSON    </t>
  </si>
  <si>
    <t>Full Name - Trim</t>
  </si>
  <si>
    <t>Full Name - Proper</t>
  </si>
  <si>
    <t>Email - Lower</t>
  </si>
  <si>
    <t>Domain - Right</t>
  </si>
  <si>
    <t>Name - Left</t>
  </si>
  <si>
    <t>Email - Mid</t>
  </si>
  <si>
    <t>john</t>
  </si>
  <si>
    <t>example.com</t>
  </si>
  <si>
    <t>jane</t>
  </si>
  <si>
    <t>alice</t>
  </si>
  <si>
    <t>Boob</t>
  </si>
  <si>
    <t>eva</t>
  </si>
  <si>
    <t>Email - Delimited</t>
  </si>
  <si>
    <t>Name - Fixed Width</t>
  </si>
  <si>
    <t>joh</t>
  </si>
  <si>
    <t>n@example.com</t>
  </si>
  <si>
    <t>jan</t>
  </si>
  <si>
    <t>e@example.com</t>
  </si>
  <si>
    <t>ali</t>
  </si>
  <si>
    <t>ce@example.com</t>
  </si>
  <si>
    <t>Boo</t>
  </si>
  <si>
    <t>b@example.com</t>
  </si>
  <si>
    <t>@example.com</t>
  </si>
  <si>
    <t>Wastage Part</t>
  </si>
  <si>
    <t>John</t>
  </si>
  <si>
    <t>Doe</t>
  </si>
  <si>
    <t>First Name</t>
  </si>
  <si>
    <t>Last Name</t>
  </si>
  <si>
    <t>Jane</t>
  </si>
  <si>
    <t>Alice</t>
  </si>
  <si>
    <t>Eva</t>
  </si>
  <si>
    <t>smith</t>
  </si>
  <si>
    <t>JOHNSON</t>
  </si>
  <si>
    <t>Brown</t>
  </si>
  <si>
    <t>White</t>
  </si>
  <si>
    <t>Today</t>
  </si>
  <si>
    <t>Yesterday</t>
  </si>
  <si>
    <t>Tomorrow</t>
  </si>
  <si>
    <t>Short Date</t>
  </si>
  <si>
    <t>Year</t>
  </si>
  <si>
    <t>Month</t>
  </si>
  <si>
    <t>Date</t>
  </si>
  <si>
    <t>Day</t>
  </si>
  <si>
    <t>Hour</t>
  </si>
  <si>
    <t>Minute</t>
  </si>
  <si>
    <t>Second</t>
  </si>
  <si>
    <t>Datedif</t>
  </si>
  <si>
    <t>Net Working Days</t>
  </si>
  <si>
    <t>Days</t>
  </si>
  <si>
    <t>Years</t>
  </si>
  <si>
    <t>Workdays</t>
  </si>
  <si>
    <t>Project Duration (in Days)</t>
  </si>
  <si>
    <t>Salary Status</t>
  </si>
  <si>
    <t>Ratings</t>
  </si>
  <si>
    <t>Excellent</t>
  </si>
  <si>
    <t>Good</t>
  </si>
  <si>
    <t>Average</t>
  </si>
  <si>
    <t>Fine</t>
  </si>
  <si>
    <t>Poor</t>
  </si>
  <si>
    <t>Performance - ifs</t>
  </si>
  <si>
    <t>Performance - switches</t>
  </si>
  <si>
    <t>Extra money</t>
  </si>
  <si>
    <t>Total Salary</t>
  </si>
  <si>
    <t>Average Salary</t>
  </si>
  <si>
    <t>Product</t>
  </si>
  <si>
    <t>Salary of John Doe (VLOOKUP)</t>
  </si>
  <si>
    <t>Salary of 3rd row (HLOOKUP)</t>
  </si>
  <si>
    <t>Salary of Jane Smith (INDEX + MATCH)</t>
  </si>
  <si>
    <t>Salary of bob Brown (XLOOKUP)</t>
  </si>
  <si>
    <t>Salary around 52000</t>
  </si>
  <si>
    <t>IFERROR</t>
  </si>
  <si>
    <t>&gt;50000</t>
  </si>
  <si>
    <t>Marketing Total</t>
  </si>
  <si>
    <t>Sales Total</t>
  </si>
  <si>
    <t>Grand Total</t>
  </si>
  <si>
    <t>HR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</si>
</sst>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Project 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Sheet3!$L$2:$L$6</c:f>
              <c:numCache>
                <c:formatCode>m/d/yyyy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1-4406-BEC0-65245A6D7F16}"/>
            </c:ext>
          </c:extLst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Project 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Sheet3!$M$2:$M$6</c:f>
              <c:numCache>
                <c:formatCode>m/d/yyyy</c:formatCode>
                <c:ptCount val="5"/>
                <c:pt idx="0">
                  <c:v>45458</c:v>
                </c:pt>
                <c:pt idx="1">
                  <c:v>45461</c:v>
                </c:pt>
                <c:pt idx="2">
                  <c:v>45463</c:v>
                </c:pt>
                <c:pt idx="3">
                  <c:v>45468</c:v>
                </c:pt>
                <c:pt idx="4">
                  <c:v>45473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1-4406-BEC0-65245A6D7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9234224"/>
        <c:axId val="859233744"/>
      </c:barChart>
      <c:catAx>
        <c:axId val="85923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33744"/>
        <c:crosses val="autoZero"/>
        <c:auto val="1"/>
        <c:lblAlgn val="ctr"/>
        <c:lblOffset val="100"/>
        <c:noMultiLvlLbl val="0"/>
      </c:catAx>
      <c:valAx>
        <c:axId val="85923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3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Project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Sheet3!$L$2:$L$6</c:f>
              <c:numCache>
                <c:formatCode>m/d/yyyy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6-4820-BF8F-C04973DE906B}"/>
            </c:ext>
          </c:extLst>
        </c:ser>
        <c:ser>
          <c:idx val="1"/>
          <c:order val="1"/>
          <c:tx>
            <c:strRef>
              <c:f>Sheet3!$N$1</c:f>
              <c:strCache>
                <c:ptCount val="1"/>
                <c:pt idx="0">
                  <c:v>Project Duration (in 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Sheet3!$N$2:$N$6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6-4820-BF8F-C04973DE9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306256"/>
        <c:axId val="224306736"/>
      </c:barChart>
      <c:catAx>
        <c:axId val="22430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06736"/>
        <c:crosses val="autoZero"/>
        <c:auto val="1"/>
        <c:lblAlgn val="ctr"/>
        <c:lblOffset val="100"/>
        <c:noMultiLvlLbl val="0"/>
      </c:catAx>
      <c:valAx>
        <c:axId val="22430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0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89086</xdr:colOff>
      <xdr:row>7</xdr:row>
      <xdr:rowOff>87406</xdr:rowOff>
    </xdr:from>
    <xdr:to>
      <xdr:col>17</xdr:col>
      <xdr:colOff>186765</xdr:colOff>
      <xdr:row>22</xdr:row>
      <xdr:rowOff>68356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35AE4A-F063-4413-1B9B-08071CEAD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511175</xdr:colOff>
      <xdr:row>1</xdr:row>
      <xdr:rowOff>101600</xdr:rowOff>
    </xdr:from>
    <xdr:to>
      <xdr:col>25</xdr:col>
      <xdr:colOff>206375</xdr:colOff>
      <xdr:row>16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DBC896-14D2-B1BE-8368-6F5D46229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C1" sqref="C1:C6"/>
    </sheetView>
  </sheetViews>
  <sheetFormatPr defaultRowHeight="14.5" x14ac:dyDescent="0.35"/>
  <cols>
    <col min="1" max="1" width="14.08984375" bestFit="1" customWidth="1"/>
    <col min="2" max="2" width="17.7265625" bestFit="1" customWidth="1"/>
    <col min="3" max="3" width="11.08984375" bestFit="1" customWidth="1"/>
    <col min="4" max="4" width="17.81640625" bestFit="1" customWidth="1"/>
    <col min="5" max="5" width="12.453125" bestFit="1" customWidth="1"/>
    <col min="6" max="6" width="10.453125" bestFit="1" customWidth="1"/>
    <col min="7" max="7" width="7.90625" bestFit="1" customWidth="1"/>
    <col min="8" max="9" width="17.81640625" bestFit="1" customWidth="1"/>
    <col min="10" max="10" width="14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15</v>
      </c>
      <c r="C2" t="s">
        <v>20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5">
      <c r="A3" t="s">
        <v>11</v>
      </c>
      <c r="B3" t="s">
        <v>16</v>
      </c>
      <c r="C3" t="s">
        <v>21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5">
      <c r="A4" t="s">
        <v>12</v>
      </c>
      <c r="B4" t="s">
        <v>17</v>
      </c>
      <c r="C4" t="s">
        <v>20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5">
      <c r="A5" t="s">
        <v>13</v>
      </c>
      <c r="B5" t="s">
        <v>18</v>
      </c>
      <c r="C5" t="s">
        <v>22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5">
      <c r="A6" t="s">
        <v>14</v>
      </c>
      <c r="B6" t="s">
        <v>19</v>
      </c>
      <c r="C6" t="s">
        <v>21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9620-5534-499C-8E47-75CE9527F7B8}">
  <dimension ref="A1:O15"/>
  <sheetViews>
    <sheetView workbookViewId="0">
      <selection activeCell="E2" sqref="E2"/>
    </sheetView>
  </sheetViews>
  <sheetFormatPr defaultRowHeight="14.5" x14ac:dyDescent="0.35"/>
  <cols>
    <col min="1" max="5" width="17.36328125" customWidth="1"/>
    <col min="6" max="6" width="18.36328125" bestFit="1" customWidth="1"/>
    <col min="7" max="7" width="17.7265625" bestFit="1" customWidth="1"/>
    <col min="8" max="8" width="13.26953125" bestFit="1" customWidth="1"/>
    <col min="9" max="9" width="10.453125" bestFit="1" customWidth="1"/>
    <col min="10" max="10" width="10.1796875" bestFit="1" customWidth="1"/>
    <col min="11" max="11" width="5.36328125" bestFit="1" customWidth="1"/>
    <col min="12" max="12" width="12" bestFit="1" customWidth="1"/>
    <col min="13" max="13" width="17.453125" bestFit="1" customWidth="1"/>
  </cols>
  <sheetData>
    <row r="1" spans="1:15" x14ac:dyDescent="0.35">
      <c r="A1" s="1" t="s">
        <v>0</v>
      </c>
      <c r="B1" s="1" t="s">
        <v>28</v>
      </c>
      <c r="C1" s="1" t="s">
        <v>29</v>
      </c>
      <c r="D1" s="1" t="s">
        <v>54</v>
      </c>
      <c r="E1" s="1" t="s">
        <v>55</v>
      </c>
      <c r="F1" s="1" t="s">
        <v>1</v>
      </c>
      <c r="G1" s="1" t="s">
        <v>30</v>
      </c>
      <c r="H1" s="1" t="s">
        <v>31</v>
      </c>
      <c r="I1" s="1" t="s">
        <v>32</v>
      </c>
      <c r="J1" s="1" t="s">
        <v>33</v>
      </c>
      <c r="K1" s="14" t="s">
        <v>40</v>
      </c>
      <c r="L1" s="15"/>
      <c r="M1" s="1" t="s">
        <v>41</v>
      </c>
      <c r="N1" s="14" t="s">
        <v>51</v>
      </c>
      <c r="O1" s="14"/>
    </row>
    <row r="2" spans="1:15" x14ac:dyDescent="0.35">
      <c r="A2" t="s">
        <v>25</v>
      </c>
      <c r="B2" t="str">
        <f>TRIM(A2)</f>
        <v>John Doe</v>
      </c>
      <c r="C2" t="str">
        <f>PROPER(B2)</f>
        <v>John Doe</v>
      </c>
      <c r="D2" t="s">
        <v>52</v>
      </c>
      <c r="E2" t="s">
        <v>53</v>
      </c>
      <c r="F2" t="s">
        <v>15</v>
      </c>
      <c r="G2" t="str">
        <f>LOWER(F2)</f>
        <v>john@example.com</v>
      </c>
      <c r="H2" t="str">
        <f>RIGHT(G2, 11)</f>
        <v>example.com</v>
      </c>
      <c r="I2" t="str">
        <f>LEFT(C2, 3)</f>
        <v>Joh</v>
      </c>
      <c r="J2" t="str">
        <f>MID(G2,6,7)</f>
        <v>example</v>
      </c>
      <c r="K2" t="s">
        <v>34</v>
      </c>
      <c r="L2" t="s">
        <v>35</v>
      </c>
      <c r="M2" t="s">
        <v>42</v>
      </c>
      <c r="N2" t="s">
        <v>43</v>
      </c>
    </row>
    <row r="3" spans="1:15" x14ac:dyDescent="0.35">
      <c r="A3" t="s">
        <v>26</v>
      </c>
      <c r="B3" t="str">
        <f t="shared" ref="B3:B6" si="0">TRIM(A3)</f>
        <v>jane smith</v>
      </c>
      <c r="C3" t="str">
        <f t="shared" ref="C3:C6" si="1">PROPER(B3)</f>
        <v>Jane Smith</v>
      </c>
      <c r="D3" t="s">
        <v>56</v>
      </c>
      <c r="E3" t="s">
        <v>59</v>
      </c>
      <c r="F3" t="s">
        <v>16</v>
      </c>
      <c r="G3" t="str">
        <f t="shared" ref="G3:G6" si="2">LOWER(F3)</f>
        <v>jane@example.com</v>
      </c>
      <c r="H3" t="str">
        <f t="shared" ref="H3:H6" si="3">RIGHT(G3, 11)</f>
        <v>example.com</v>
      </c>
      <c r="I3" t="str">
        <f t="shared" ref="I3:I6" si="4">LEFT(C3, 3)</f>
        <v>Jan</v>
      </c>
      <c r="J3" t="str">
        <f t="shared" ref="J3:J6" si="5">MID(G3,6,7)</f>
        <v>example</v>
      </c>
      <c r="K3" t="s">
        <v>36</v>
      </c>
      <c r="L3" t="s">
        <v>35</v>
      </c>
      <c r="M3" t="s">
        <v>44</v>
      </c>
      <c r="N3" t="s">
        <v>45</v>
      </c>
    </row>
    <row r="4" spans="1:15" x14ac:dyDescent="0.35">
      <c r="A4" t="s">
        <v>27</v>
      </c>
      <c r="B4" t="str">
        <f t="shared" si="0"/>
        <v>ALICE JOHNSON</v>
      </c>
      <c r="C4" t="str">
        <f t="shared" si="1"/>
        <v>Alice Johnson</v>
      </c>
      <c r="D4" t="s">
        <v>57</v>
      </c>
      <c r="E4" t="s">
        <v>60</v>
      </c>
      <c r="F4" t="s">
        <v>17</v>
      </c>
      <c r="G4" t="str">
        <f t="shared" si="2"/>
        <v>alice@example.com</v>
      </c>
      <c r="H4" t="str">
        <f t="shared" si="3"/>
        <v>example.com</v>
      </c>
      <c r="I4" t="str">
        <f t="shared" si="4"/>
        <v>Ali</v>
      </c>
      <c r="J4" t="str">
        <f t="shared" si="5"/>
        <v>@exampl</v>
      </c>
      <c r="K4" t="s">
        <v>37</v>
      </c>
      <c r="L4" t="s">
        <v>35</v>
      </c>
      <c r="M4" t="s">
        <v>46</v>
      </c>
      <c r="N4" t="s">
        <v>47</v>
      </c>
    </row>
    <row r="5" spans="1:15" x14ac:dyDescent="0.35">
      <c r="A5" t="s">
        <v>23</v>
      </c>
      <c r="B5" t="str">
        <f t="shared" si="0"/>
        <v>Boob Brown</v>
      </c>
      <c r="C5" t="str">
        <f t="shared" si="1"/>
        <v>Boob Brown</v>
      </c>
      <c r="D5" t="s">
        <v>38</v>
      </c>
      <c r="E5" t="s">
        <v>61</v>
      </c>
      <c r="F5" t="s">
        <v>24</v>
      </c>
      <c r="G5" t="str">
        <f t="shared" si="2"/>
        <v>boob@example.com</v>
      </c>
      <c r="H5" t="str">
        <f t="shared" si="3"/>
        <v>example.com</v>
      </c>
      <c r="I5" t="str">
        <f t="shared" si="4"/>
        <v>Boo</v>
      </c>
      <c r="J5" t="str">
        <f t="shared" si="5"/>
        <v>example</v>
      </c>
      <c r="K5" t="s">
        <v>38</v>
      </c>
      <c r="L5" t="s">
        <v>35</v>
      </c>
      <c r="M5" t="s">
        <v>48</v>
      </c>
      <c r="N5" t="s">
        <v>49</v>
      </c>
    </row>
    <row r="6" spans="1:15" x14ac:dyDescent="0.35">
      <c r="A6" t="s">
        <v>14</v>
      </c>
      <c r="B6" t="str">
        <f t="shared" si="0"/>
        <v>Eva White</v>
      </c>
      <c r="C6" t="str">
        <f t="shared" si="1"/>
        <v>Eva White</v>
      </c>
      <c r="D6" t="s">
        <v>58</v>
      </c>
      <c r="E6" t="s">
        <v>62</v>
      </c>
      <c r="F6" t="s">
        <v>19</v>
      </c>
      <c r="G6" t="str">
        <f t="shared" si="2"/>
        <v>eva@example.com</v>
      </c>
      <c r="H6" t="str">
        <f t="shared" si="3"/>
        <v>example.com</v>
      </c>
      <c r="I6" t="str">
        <f t="shared" si="4"/>
        <v>Eva</v>
      </c>
      <c r="J6" t="str">
        <f t="shared" si="5"/>
        <v>xample.</v>
      </c>
      <c r="K6" t="s">
        <v>39</v>
      </c>
      <c r="L6" t="s">
        <v>35</v>
      </c>
      <c r="M6" t="s">
        <v>39</v>
      </c>
      <c r="N6" t="s">
        <v>50</v>
      </c>
    </row>
    <row r="11" spans="1:15" x14ac:dyDescent="0.35">
      <c r="I11" t="s">
        <v>52</v>
      </c>
      <c r="J11" t="s">
        <v>53</v>
      </c>
      <c r="L11" t="str">
        <f>I11&amp;J11</f>
        <v>JohnDoe</v>
      </c>
    </row>
    <row r="12" spans="1:15" x14ac:dyDescent="0.35">
      <c r="I12" t="s">
        <v>52</v>
      </c>
      <c r="J12" t="s">
        <v>53</v>
      </c>
      <c r="L12" t="str">
        <f>I12&amp;" "&amp;J12</f>
        <v>John Doe</v>
      </c>
    </row>
    <row r="13" spans="1:15" x14ac:dyDescent="0.35">
      <c r="I13" t="s">
        <v>52</v>
      </c>
      <c r="J13" t="s">
        <v>53</v>
      </c>
      <c r="L13" t="str">
        <f>_xlfn.CONCAT(I13,J13)</f>
        <v>JohnDoe</v>
      </c>
    </row>
    <row r="14" spans="1:15" x14ac:dyDescent="0.35">
      <c r="I14" t="s">
        <v>52</v>
      </c>
      <c r="J14" t="s">
        <v>53</v>
      </c>
      <c r="L14" t="str">
        <f>_xlfn.CONCAT(I14," ",J14)</f>
        <v>John Doe</v>
      </c>
    </row>
    <row r="15" spans="1:15" x14ac:dyDescent="0.35">
      <c r="I15" t="s">
        <v>52</v>
      </c>
      <c r="J15" t="s">
        <v>53</v>
      </c>
      <c r="L15" t="str">
        <f>_xlfn.TEXTJOIN("-",FALSE,I15,J15)</f>
        <v>John-Doe</v>
      </c>
    </row>
  </sheetData>
  <mergeCells count="2">
    <mergeCell ref="K1:L1"/>
    <mergeCell ref="N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3BF1-1A5F-4DA9-BBEC-3113292E37FA}">
  <dimension ref="A1:F13"/>
  <sheetViews>
    <sheetView workbookViewId="0">
      <selection activeCell="I12" sqref="I12"/>
    </sheetView>
  </sheetViews>
  <sheetFormatPr defaultRowHeight="14.5" x14ac:dyDescent="0.35"/>
  <cols>
    <col min="1" max="1" width="11.08984375" bestFit="1" customWidth="1"/>
    <col min="2" max="2" width="10.453125" bestFit="1" customWidth="1"/>
  </cols>
  <sheetData>
    <row r="1" spans="1:6" x14ac:dyDescent="0.35">
      <c r="A1" s="1" t="s">
        <v>2</v>
      </c>
      <c r="B1" s="1" t="s">
        <v>5</v>
      </c>
    </row>
    <row r="2" spans="1:6" x14ac:dyDescent="0.35">
      <c r="A2" t="s">
        <v>20</v>
      </c>
      <c r="B2">
        <v>50000</v>
      </c>
    </row>
    <row r="3" spans="1:6" x14ac:dyDescent="0.35">
      <c r="A3" t="s">
        <v>21</v>
      </c>
      <c r="B3">
        <v>60000</v>
      </c>
    </row>
    <row r="4" spans="1:6" x14ac:dyDescent="0.35">
      <c r="A4" t="s">
        <v>20</v>
      </c>
      <c r="B4">
        <v>55000</v>
      </c>
    </row>
    <row r="5" spans="1:6" x14ac:dyDescent="0.35">
      <c r="A5" t="s">
        <v>22</v>
      </c>
      <c r="B5">
        <v>45000</v>
      </c>
    </row>
    <row r="6" spans="1:6" x14ac:dyDescent="0.35">
      <c r="A6" t="s">
        <v>21</v>
      </c>
      <c r="B6">
        <v>70000</v>
      </c>
    </row>
    <row r="10" spans="1:6" x14ac:dyDescent="0.35">
      <c r="C10" t="s">
        <v>5</v>
      </c>
      <c r="F10" t="s">
        <v>5</v>
      </c>
    </row>
    <row r="11" spans="1:6" x14ac:dyDescent="0.35">
      <c r="B11" t="s">
        <v>20</v>
      </c>
      <c r="C11">
        <v>105000</v>
      </c>
      <c r="E11" t="s">
        <v>20</v>
      </c>
      <c r="F11">
        <v>52500</v>
      </c>
    </row>
    <row r="12" spans="1:6" x14ac:dyDescent="0.35">
      <c r="B12" t="s">
        <v>21</v>
      </c>
      <c r="C12">
        <v>130000</v>
      </c>
      <c r="E12" t="s">
        <v>21</v>
      </c>
      <c r="F12">
        <v>65000</v>
      </c>
    </row>
    <row r="13" spans="1:6" x14ac:dyDescent="0.35">
      <c r="B13" t="s">
        <v>22</v>
      </c>
      <c r="C13">
        <v>45000</v>
      </c>
      <c r="E13" t="s">
        <v>22</v>
      </c>
      <c r="F13">
        <v>45000</v>
      </c>
    </row>
  </sheetData>
  <dataConsolidate function="average" topLabels="1">
    <dataRefs count="1">
      <dataRef ref="A1:B6" sheet="Sheet2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B39C-3CEB-4FC0-B226-EE7FBC8C4F40}">
  <dimension ref="A1:N21"/>
  <sheetViews>
    <sheetView zoomScaleNormal="100" workbookViewId="0">
      <selection sqref="A1:C6"/>
    </sheetView>
  </sheetViews>
  <sheetFormatPr defaultRowHeight="14.5" x14ac:dyDescent="0.35"/>
  <cols>
    <col min="1" max="1" width="14.08984375" bestFit="1" customWidth="1"/>
    <col min="2" max="2" width="17.81640625" bestFit="1" customWidth="1"/>
    <col min="3" max="3" width="10.453125" bestFit="1" customWidth="1"/>
    <col min="4" max="4" width="17.81640625" bestFit="1" customWidth="1"/>
    <col min="5" max="5" width="10.08984375" bestFit="1" customWidth="1"/>
    <col min="8" max="8" width="10.08984375" bestFit="1" customWidth="1"/>
    <col min="12" max="13" width="17.81640625" bestFit="1" customWidth="1"/>
    <col min="14" max="14" width="22.7265625" bestFit="1" customWidth="1"/>
  </cols>
  <sheetData>
    <row r="1" spans="1:14" x14ac:dyDescent="0.35">
      <c r="A1" s="1" t="s">
        <v>0</v>
      </c>
      <c r="B1" s="1" t="s">
        <v>3</v>
      </c>
      <c r="C1" s="1" t="s">
        <v>5</v>
      </c>
      <c r="D1" s="1" t="s">
        <v>66</v>
      </c>
      <c r="E1" s="1" t="s">
        <v>67</v>
      </c>
      <c r="F1" s="1" t="s">
        <v>68</v>
      </c>
      <c r="G1" s="1" t="s">
        <v>70</v>
      </c>
      <c r="H1" s="1" t="s">
        <v>69</v>
      </c>
      <c r="I1" s="1" t="s">
        <v>71</v>
      </c>
      <c r="J1" s="1" t="s">
        <v>72</v>
      </c>
      <c r="K1" s="1" t="s">
        <v>73</v>
      </c>
      <c r="L1" s="6" t="s">
        <v>7</v>
      </c>
      <c r="M1" s="6" t="s">
        <v>8</v>
      </c>
      <c r="N1" s="1" t="s">
        <v>79</v>
      </c>
    </row>
    <row r="2" spans="1:14" x14ac:dyDescent="0.35">
      <c r="A2" t="s">
        <v>10</v>
      </c>
      <c r="B2" s="2">
        <v>44691</v>
      </c>
      <c r="C2">
        <v>50000</v>
      </c>
      <c r="D2" s="3">
        <v>44691</v>
      </c>
      <c r="E2">
        <f>YEAR(D2)</f>
        <v>2022</v>
      </c>
      <c r="F2">
        <f>MONTH(D2)</f>
        <v>5</v>
      </c>
      <c r="G2">
        <f>DAY(D2)</f>
        <v>10</v>
      </c>
      <c r="H2" s="3">
        <f>DATE(E2,F2,G2)</f>
        <v>44691</v>
      </c>
      <c r="I2">
        <f>HOUR(B2)</f>
        <v>0</v>
      </c>
      <c r="J2">
        <f>MINUTE(B2)</f>
        <v>0</v>
      </c>
      <c r="K2">
        <f>SECOND(B2)</f>
        <v>0</v>
      </c>
      <c r="L2" s="3">
        <v>45444</v>
      </c>
      <c r="M2" s="3">
        <v>45458</v>
      </c>
      <c r="N2">
        <f>DATEDIF(L2,M2,"D")</f>
        <v>14</v>
      </c>
    </row>
    <row r="3" spans="1:14" x14ac:dyDescent="0.35">
      <c r="A3" t="s">
        <v>11</v>
      </c>
      <c r="B3" s="2">
        <v>44941</v>
      </c>
      <c r="C3">
        <v>60000</v>
      </c>
      <c r="D3" s="3">
        <v>44941</v>
      </c>
      <c r="E3">
        <f t="shared" ref="E3:E6" si="0">YEAR(D3)</f>
        <v>2023</v>
      </c>
      <c r="F3">
        <f t="shared" ref="F3:F6" si="1">MONTH(D3)</f>
        <v>1</v>
      </c>
      <c r="G3">
        <f>DAY(D3)</f>
        <v>15</v>
      </c>
      <c r="H3" s="3">
        <f t="shared" ref="H3:H6" si="2">DATE(E3,F3,G3)</f>
        <v>44941</v>
      </c>
      <c r="I3">
        <f t="shared" ref="I3:I6" si="3">HOUR(B3)</f>
        <v>0</v>
      </c>
      <c r="J3">
        <f t="shared" ref="J3:J6" si="4">MINUTE(B3)</f>
        <v>0</v>
      </c>
      <c r="K3">
        <f t="shared" ref="K3:K6" si="5">SECOND(B3)</f>
        <v>0</v>
      </c>
      <c r="L3" s="3">
        <v>45444</v>
      </c>
      <c r="M3" s="3">
        <v>45461</v>
      </c>
      <c r="N3">
        <f t="shared" ref="N3:N6" si="6">DATEDIF(L3,M3,"D")</f>
        <v>17</v>
      </c>
    </row>
    <row r="4" spans="1:14" x14ac:dyDescent="0.35">
      <c r="A4" t="s">
        <v>12</v>
      </c>
      <c r="B4" s="2">
        <v>44378</v>
      </c>
      <c r="C4">
        <v>55000</v>
      </c>
      <c r="D4" s="3">
        <v>44378</v>
      </c>
      <c r="E4">
        <f t="shared" si="0"/>
        <v>2021</v>
      </c>
      <c r="F4">
        <f t="shared" si="1"/>
        <v>7</v>
      </c>
      <c r="G4">
        <f>DAY(D4)</f>
        <v>1</v>
      </c>
      <c r="H4" s="3">
        <f t="shared" si="2"/>
        <v>44378</v>
      </c>
      <c r="I4">
        <f t="shared" si="3"/>
        <v>0</v>
      </c>
      <c r="J4">
        <f t="shared" si="4"/>
        <v>0</v>
      </c>
      <c r="K4">
        <f t="shared" si="5"/>
        <v>0</v>
      </c>
      <c r="L4" s="3">
        <v>45444</v>
      </c>
      <c r="M4" s="3">
        <v>45463</v>
      </c>
      <c r="N4">
        <f t="shared" si="6"/>
        <v>19</v>
      </c>
    </row>
    <row r="5" spans="1:14" x14ac:dyDescent="0.35">
      <c r="A5" t="s">
        <v>13</v>
      </c>
      <c r="B5" s="2">
        <v>45219</v>
      </c>
      <c r="C5">
        <v>45000</v>
      </c>
      <c r="D5" s="3">
        <v>45219</v>
      </c>
      <c r="E5">
        <f t="shared" si="0"/>
        <v>2023</v>
      </c>
      <c r="F5">
        <f t="shared" si="1"/>
        <v>10</v>
      </c>
      <c r="G5">
        <f>DAY(D5)</f>
        <v>20</v>
      </c>
      <c r="H5" s="3">
        <f t="shared" si="2"/>
        <v>45219</v>
      </c>
      <c r="I5">
        <f t="shared" si="3"/>
        <v>0</v>
      </c>
      <c r="J5">
        <f t="shared" si="4"/>
        <v>0</v>
      </c>
      <c r="K5">
        <f t="shared" si="5"/>
        <v>0</v>
      </c>
      <c r="L5" s="3">
        <v>45444</v>
      </c>
      <c r="M5" s="3">
        <v>45468</v>
      </c>
      <c r="N5">
        <f t="shared" si="6"/>
        <v>24</v>
      </c>
    </row>
    <row r="6" spans="1:14" x14ac:dyDescent="0.35">
      <c r="A6" t="s">
        <v>14</v>
      </c>
      <c r="B6" s="2">
        <v>43895</v>
      </c>
      <c r="C6">
        <v>70000</v>
      </c>
      <c r="D6" s="3">
        <v>43895</v>
      </c>
      <c r="E6">
        <f t="shared" si="0"/>
        <v>2020</v>
      </c>
      <c r="F6">
        <f t="shared" si="1"/>
        <v>3</v>
      </c>
      <c r="G6">
        <f>DAY(D6)</f>
        <v>5</v>
      </c>
      <c r="H6" s="3">
        <f t="shared" si="2"/>
        <v>43895</v>
      </c>
      <c r="I6">
        <f t="shared" si="3"/>
        <v>0</v>
      </c>
      <c r="J6">
        <f t="shared" si="4"/>
        <v>0</v>
      </c>
      <c r="K6">
        <f t="shared" si="5"/>
        <v>0</v>
      </c>
      <c r="L6" s="3">
        <v>45444</v>
      </c>
      <c r="M6" s="3">
        <v>45473</v>
      </c>
      <c r="N6">
        <f t="shared" si="6"/>
        <v>29</v>
      </c>
    </row>
    <row r="9" spans="1:14" x14ac:dyDescent="0.35">
      <c r="A9" t="s">
        <v>63</v>
      </c>
      <c r="B9" s="3">
        <f ca="1">TODAY()</f>
        <v>45910</v>
      </c>
    </row>
    <row r="10" spans="1:14" x14ac:dyDescent="0.35">
      <c r="A10" t="s">
        <v>64</v>
      </c>
      <c r="B10" s="3">
        <f ca="1">TODAY()-1</f>
        <v>45909</v>
      </c>
    </row>
    <row r="11" spans="1:14" x14ac:dyDescent="0.35">
      <c r="A11" t="s">
        <v>65</v>
      </c>
      <c r="B11" s="3">
        <f ca="1">TODAY()+1</f>
        <v>45911</v>
      </c>
    </row>
    <row r="14" spans="1:14" x14ac:dyDescent="0.35">
      <c r="A14" s="4">
        <v>0.52425925925925931</v>
      </c>
      <c r="D14" t="s">
        <v>74</v>
      </c>
      <c r="E14" t="s">
        <v>77</v>
      </c>
      <c r="F14" t="s">
        <v>76</v>
      </c>
    </row>
    <row r="15" spans="1:14" x14ac:dyDescent="0.35">
      <c r="A15" s="5" t="s">
        <v>71</v>
      </c>
      <c r="B15">
        <f>HOUR(A14)</f>
        <v>12</v>
      </c>
      <c r="D15" s="3">
        <v>44691</v>
      </c>
      <c r="E15">
        <f ca="1">DATEDIF(D15,TODAY(),"Y")</f>
        <v>3</v>
      </c>
      <c r="F15">
        <f ca="1">DATEDIF(D15,TODAY(),"D")</f>
        <v>1219</v>
      </c>
    </row>
    <row r="16" spans="1:14" x14ac:dyDescent="0.35">
      <c r="A16" t="s">
        <v>72</v>
      </c>
      <c r="B16">
        <f>MINUTE(A14)</f>
        <v>34</v>
      </c>
    </row>
    <row r="17" spans="1:5" x14ac:dyDescent="0.35">
      <c r="A17" t="s">
        <v>73</v>
      </c>
      <c r="B17">
        <f>SECOND(A14)</f>
        <v>56</v>
      </c>
      <c r="D17" t="s">
        <v>75</v>
      </c>
    </row>
    <row r="18" spans="1:5" x14ac:dyDescent="0.35">
      <c r="D18">
        <f ca="1">NETWORKDAYS(D15,TODAY())</f>
        <v>872</v>
      </c>
    </row>
    <row r="20" spans="1:5" x14ac:dyDescent="0.35">
      <c r="D20" t="s">
        <v>78</v>
      </c>
    </row>
    <row r="21" spans="1:5" x14ac:dyDescent="0.35">
      <c r="D21">
        <f>WORKDAY(D15,366)</f>
        <v>45203</v>
      </c>
      <c r="E21" s="3">
        <v>45203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88C0-D46A-43C9-8C1F-804632D06086}">
  <dimension ref="A1:H20"/>
  <sheetViews>
    <sheetView workbookViewId="0">
      <selection sqref="A1:C6"/>
    </sheetView>
  </sheetViews>
  <sheetFormatPr defaultRowHeight="14.5" x14ac:dyDescent="0.35"/>
  <cols>
    <col min="1" max="1" width="32.81640625" bestFit="1" customWidth="1"/>
    <col min="2" max="2" width="13.08984375" bestFit="1" customWidth="1"/>
    <col min="3" max="3" width="10.453125" bestFit="1" customWidth="1"/>
    <col min="4" max="4" width="10.453125" customWidth="1"/>
    <col min="5" max="5" width="11.54296875" bestFit="1" customWidth="1"/>
    <col min="6" max="6" width="15.1796875" bestFit="1" customWidth="1"/>
    <col min="7" max="7" width="20.36328125" bestFit="1" customWidth="1"/>
    <col min="8" max="8" width="11.36328125" bestFit="1" customWidth="1"/>
  </cols>
  <sheetData>
    <row r="1" spans="1:8" x14ac:dyDescent="0.35">
      <c r="A1" s="1" t="s">
        <v>0</v>
      </c>
      <c r="B1" s="1" t="s">
        <v>2</v>
      </c>
      <c r="C1" s="1" t="s">
        <v>5</v>
      </c>
      <c r="D1" s="1" t="s">
        <v>81</v>
      </c>
      <c r="E1" s="1" t="s">
        <v>80</v>
      </c>
      <c r="F1" s="1" t="s">
        <v>87</v>
      </c>
      <c r="G1" s="8" t="s">
        <v>88</v>
      </c>
      <c r="H1" s="1" t="s">
        <v>89</v>
      </c>
    </row>
    <row r="2" spans="1:8" x14ac:dyDescent="0.35">
      <c r="A2" t="s">
        <v>10</v>
      </c>
      <c r="B2" t="s">
        <v>20</v>
      </c>
      <c r="C2">
        <v>50000</v>
      </c>
      <c r="D2">
        <v>3</v>
      </c>
      <c r="E2" t="str">
        <f>IF(C2&gt;50000,"High","Low")</f>
        <v>Low</v>
      </c>
      <c r="F2" t="str" cm="1">
        <f t="array" ref="F2">_xlfn.IFS(D2=1,"Excellent",D2=2,"Good",D2=3,"Average",D2=4,"Fair",D2=5,"Poor")</f>
        <v>Average</v>
      </c>
      <c r="G2" t="str" cm="1">
        <f t="array" ref="G2">_xlfn.SWITCH(D2,1,"Excellent",2,"Good",3,"Average",4,"Fine",5,"Poor")</f>
        <v>Average</v>
      </c>
      <c r="H2" t="str">
        <f>IF(OR(B2="HR",B2="Marketing"),"Bonus","No Bonus")</f>
        <v>No Bonus</v>
      </c>
    </row>
    <row r="3" spans="1:8" x14ac:dyDescent="0.35">
      <c r="A3" t="s">
        <v>11</v>
      </c>
      <c r="B3" t="s">
        <v>21</v>
      </c>
      <c r="C3">
        <v>60000</v>
      </c>
      <c r="D3">
        <v>4</v>
      </c>
      <c r="E3" t="str">
        <f t="shared" ref="E3:E6" si="0">IF(C3&gt;50000,"High","Low")</f>
        <v>High</v>
      </c>
      <c r="F3" t="str" cm="1">
        <f t="array" ref="F3">_xlfn.IFS(D3=1,"Excellent",D3=2,"Good",D3=3,"Average",D3=4,"Fair",D3=5,"Poor")</f>
        <v>Fair</v>
      </c>
      <c r="G3" t="str" cm="1">
        <f t="array" ref="G3">_xlfn.SWITCH(D3,1,"Excellent",2,"Good",3,"Average",4,"Fine",5,"Poor")</f>
        <v>Fine</v>
      </c>
      <c r="H3" t="str">
        <f t="shared" ref="H3:H6" si="1">IF(OR(B3="HR",B3="Marketing"),"Bonus","No Bonus")</f>
        <v>Bonus</v>
      </c>
    </row>
    <row r="4" spans="1:8" x14ac:dyDescent="0.35">
      <c r="A4" t="s">
        <v>12</v>
      </c>
      <c r="B4" t="s">
        <v>20</v>
      </c>
      <c r="C4">
        <v>55000</v>
      </c>
      <c r="D4">
        <v>3</v>
      </c>
      <c r="E4" t="str">
        <f t="shared" si="0"/>
        <v>High</v>
      </c>
      <c r="F4" t="str" cm="1">
        <f t="array" ref="F4">_xlfn.IFS(D4=1,"Excellent",D4=2,"Good",D4=3,"Average",D4=4,"Fair",D4=5,"Poor")</f>
        <v>Average</v>
      </c>
      <c r="G4" t="str" cm="1">
        <f t="array" ref="G4">_xlfn.SWITCH(D4,1,"Excellent",2,"Good",3,"Average",4,"Fine",5,"Poor")</f>
        <v>Average</v>
      </c>
      <c r="H4" t="str">
        <f t="shared" si="1"/>
        <v>No Bonus</v>
      </c>
    </row>
    <row r="5" spans="1:8" x14ac:dyDescent="0.35">
      <c r="A5" t="s">
        <v>13</v>
      </c>
      <c r="B5" t="s">
        <v>22</v>
      </c>
      <c r="C5">
        <v>45000</v>
      </c>
      <c r="D5">
        <v>2</v>
      </c>
      <c r="E5" t="str">
        <f t="shared" si="0"/>
        <v>Low</v>
      </c>
      <c r="F5" t="str" cm="1">
        <f t="array" ref="F5">_xlfn.IFS(D5=1,"Excellent",D5=2,"Good",D5=3,"Average",D5=4,"Fair",D5=5,"Poor")</f>
        <v>Good</v>
      </c>
      <c r="G5" t="str" cm="1">
        <f t="array" ref="G5">_xlfn.SWITCH(D5,1,"Excellent",2,"Good",3,"Average",4,"Fine",5,"Poor")</f>
        <v>Good</v>
      </c>
      <c r="H5" t="str">
        <f t="shared" si="1"/>
        <v>Bonus</v>
      </c>
    </row>
    <row r="6" spans="1:8" x14ac:dyDescent="0.35">
      <c r="A6" t="s">
        <v>14</v>
      </c>
      <c r="B6" t="s">
        <v>21</v>
      </c>
      <c r="C6">
        <v>70000</v>
      </c>
      <c r="D6">
        <v>1</v>
      </c>
      <c r="E6" t="str">
        <f t="shared" si="0"/>
        <v>High</v>
      </c>
      <c r="F6" t="str" cm="1">
        <f t="array" ref="F6">_xlfn.IFS(D6=1,"Excellent",D6=2,"Good",D6=3,"Average",D6=4,"Fair",D6=5,"Poor")</f>
        <v>Excellent</v>
      </c>
      <c r="G6" t="str" cm="1">
        <f t="array" ref="G6">_xlfn.SWITCH(D6,1,"Excellent",2,"Good",3,"Average",4,"Fine",5,"Poor")</f>
        <v>Excellent</v>
      </c>
      <c r="H6" t="str">
        <f t="shared" si="1"/>
        <v>Bonus</v>
      </c>
    </row>
    <row r="7" spans="1:8" x14ac:dyDescent="0.35">
      <c r="B7" s="9" t="s">
        <v>90</v>
      </c>
      <c r="C7" s="10">
        <f>SUM(C2:C6)</f>
        <v>280000</v>
      </c>
      <c r="D7" s="13">
        <f>PRODUCT(D2:D6)</f>
        <v>72</v>
      </c>
    </row>
    <row r="8" spans="1:8" x14ac:dyDescent="0.35">
      <c r="B8" s="11" t="s">
        <v>91</v>
      </c>
      <c r="C8" s="12">
        <f>AVERAGE(C2:C6)</f>
        <v>56000</v>
      </c>
      <c r="D8" s="13" t="s">
        <v>92</v>
      </c>
    </row>
    <row r="10" spans="1:8" x14ac:dyDescent="0.35">
      <c r="A10">
        <v>1</v>
      </c>
      <c r="B10" t="s">
        <v>82</v>
      </c>
    </row>
    <row r="11" spans="1:8" x14ac:dyDescent="0.35">
      <c r="A11">
        <v>2</v>
      </c>
      <c r="B11" t="s">
        <v>83</v>
      </c>
    </row>
    <row r="12" spans="1:8" x14ac:dyDescent="0.35">
      <c r="A12">
        <v>3</v>
      </c>
      <c r="B12" t="s">
        <v>84</v>
      </c>
    </row>
    <row r="13" spans="1:8" x14ac:dyDescent="0.35">
      <c r="A13">
        <v>4</v>
      </c>
      <c r="B13" t="s">
        <v>85</v>
      </c>
    </row>
    <row r="14" spans="1:8" x14ac:dyDescent="0.35">
      <c r="A14">
        <v>5</v>
      </c>
      <c r="B14" t="s">
        <v>86</v>
      </c>
    </row>
    <row r="17" spans="1:2" x14ac:dyDescent="0.35">
      <c r="A17" t="s">
        <v>93</v>
      </c>
      <c r="B17">
        <f>VLOOKUP(A2,A1:H6,3,FALSE)</f>
        <v>50000</v>
      </c>
    </row>
    <row r="18" spans="1:2" x14ac:dyDescent="0.35">
      <c r="A18" t="s">
        <v>94</v>
      </c>
      <c r="B18">
        <f>HLOOKUP(C1,A1:H6,3,FALSE)</f>
        <v>60000</v>
      </c>
    </row>
    <row r="19" spans="1:2" x14ac:dyDescent="0.35">
      <c r="A19" t="s">
        <v>95</v>
      </c>
      <c r="B19">
        <f>INDEX(C2:C6,MATCH(A3,A2:A6,0))</f>
        <v>60000</v>
      </c>
    </row>
    <row r="20" spans="1:2" x14ac:dyDescent="0.35">
      <c r="A20" t="s">
        <v>96</v>
      </c>
      <c r="B20">
        <f>_xlfn.XLOOKUP(A5,A2:A6,C2:C6)</f>
        <v>45000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9805-DC1A-44ED-A8E0-51EC36BB35CF}">
  <dimension ref="A1:C10"/>
  <sheetViews>
    <sheetView workbookViewId="0"/>
  </sheetViews>
  <sheetFormatPr defaultRowHeight="14.5" x14ac:dyDescent="0.35"/>
  <cols>
    <col min="1" max="1" width="18" bestFit="1" customWidth="1"/>
    <col min="2" max="2" width="16.26953125" bestFit="1" customWidth="1"/>
    <col min="3" max="3" width="10.453125" bestFit="1" customWidth="1"/>
  </cols>
  <sheetData>
    <row r="1" spans="1:3" x14ac:dyDescent="0.35">
      <c r="A1" s="1" t="s">
        <v>0</v>
      </c>
      <c r="B1" s="1" t="s">
        <v>2</v>
      </c>
      <c r="C1" s="1" t="s">
        <v>5</v>
      </c>
    </row>
    <row r="2" spans="1:3" x14ac:dyDescent="0.35">
      <c r="A2" t="s">
        <v>13</v>
      </c>
      <c r="B2" t="s">
        <v>22</v>
      </c>
      <c r="C2">
        <v>45000</v>
      </c>
    </row>
    <row r="3" spans="1:3" x14ac:dyDescent="0.35">
      <c r="A3" t="s">
        <v>10</v>
      </c>
      <c r="B3" t="s">
        <v>20</v>
      </c>
      <c r="C3">
        <v>50000</v>
      </c>
    </row>
    <row r="4" spans="1:3" x14ac:dyDescent="0.35">
      <c r="A4" t="s">
        <v>12</v>
      </c>
      <c r="B4" t="s">
        <v>20</v>
      </c>
      <c r="C4">
        <v>55000</v>
      </c>
    </row>
    <row r="5" spans="1:3" x14ac:dyDescent="0.35">
      <c r="A5" t="s">
        <v>11</v>
      </c>
      <c r="B5" t="s">
        <v>21</v>
      </c>
      <c r="C5">
        <v>60000</v>
      </c>
    </row>
    <row r="6" spans="1:3" x14ac:dyDescent="0.35">
      <c r="A6" t="s">
        <v>14</v>
      </c>
      <c r="B6" t="s">
        <v>21</v>
      </c>
      <c r="C6">
        <v>70000</v>
      </c>
    </row>
    <row r="9" spans="1:3" x14ac:dyDescent="0.35">
      <c r="A9" t="s">
        <v>97</v>
      </c>
      <c r="B9" t="str">
        <f>LOOKUP(52000,C2:C6,A2:A6)</f>
        <v>John Doe</v>
      </c>
    </row>
    <row r="10" spans="1:3" x14ac:dyDescent="0.35">
      <c r="A10" t="s">
        <v>98</v>
      </c>
      <c r="B10" t="str">
        <f>IFERROR(LOOKUP(52000,D2:D6,A2:A6),"ERROR OCCURRED")</f>
        <v>ERROR OCCURRED</v>
      </c>
    </row>
  </sheetData>
  <sortState xmlns:xlrd2="http://schemas.microsoft.com/office/spreadsheetml/2017/richdata2" ref="A2:C6">
    <sortCondition ref="C2:C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67AD-B8BC-48CF-8B29-A3119F3AF5E3}">
  <sheetPr filterMode="1"/>
  <dimension ref="A1:F11"/>
  <sheetViews>
    <sheetView workbookViewId="0">
      <selection activeCell="C12" sqref="C12"/>
    </sheetView>
  </sheetViews>
  <sheetFormatPr defaultRowHeight="14.5" x14ac:dyDescent="0.35"/>
  <cols>
    <col min="1" max="1" width="14.08984375" bestFit="1" customWidth="1"/>
    <col min="2" max="2" width="11.08984375" bestFit="1" customWidth="1"/>
    <col min="3" max="3" width="10.453125" bestFit="1" customWidth="1"/>
    <col min="4" max="4" width="12.453125" bestFit="1" customWidth="1"/>
    <col min="5" max="5" width="10.453125" bestFit="1" customWidth="1"/>
    <col min="6" max="6" width="11.08984375" bestFit="1" customWidth="1"/>
  </cols>
  <sheetData>
    <row r="1" spans="1:6" x14ac:dyDescent="0.35">
      <c r="A1" s="1" t="s">
        <v>0</v>
      </c>
      <c r="B1" s="1" t="s">
        <v>2</v>
      </c>
      <c r="C1" s="1" t="s">
        <v>5</v>
      </c>
      <c r="D1" s="1" t="s">
        <v>4</v>
      </c>
    </row>
    <row r="2" spans="1:6" x14ac:dyDescent="0.35">
      <c r="A2" t="s">
        <v>12</v>
      </c>
      <c r="B2" t="s">
        <v>20</v>
      </c>
      <c r="C2">
        <v>55000</v>
      </c>
      <c r="D2">
        <v>0</v>
      </c>
    </row>
    <row r="3" spans="1:6" hidden="1" x14ac:dyDescent="0.35">
      <c r="A3" t="s">
        <v>13</v>
      </c>
      <c r="B3" t="s">
        <v>22</v>
      </c>
      <c r="C3">
        <v>45000</v>
      </c>
      <c r="D3">
        <v>8</v>
      </c>
    </row>
    <row r="4" spans="1:6" hidden="1" x14ac:dyDescent="0.35">
      <c r="A4" t="s">
        <v>14</v>
      </c>
      <c r="B4" t="s">
        <v>21</v>
      </c>
      <c r="C4">
        <v>70000</v>
      </c>
      <c r="D4">
        <v>2</v>
      </c>
    </row>
    <row r="5" spans="1:6" hidden="1" x14ac:dyDescent="0.35">
      <c r="A5" t="s">
        <v>11</v>
      </c>
      <c r="B5" t="s">
        <v>21</v>
      </c>
      <c r="C5">
        <v>60000</v>
      </c>
      <c r="D5">
        <v>12</v>
      </c>
    </row>
    <row r="6" spans="1:6" hidden="1" x14ac:dyDescent="0.35">
      <c r="A6" t="s">
        <v>10</v>
      </c>
      <c r="B6" t="s">
        <v>20</v>
      </c>
      <c r="C6">
        <v>50000</v>
      </c>
      <c r="D6">
        <v>5</v>
      </c>
    </row>
    <row r="10" spans="1:6" x14ac:dyDescent="0.35">
      <c r="E10" s="1" t="s">
        <v>5</v>
      </c>
      <c r="F10" s="1" t="s">
        <v>2</v>
      </c>
    </row>
    <row r="11" spans="1:6" x14ac:dyDescent="0.35">
      <c r="E11" t="s">
        <v>99</v>
      </c>
      <c r="F11" t="s">
        <v>20</v>
      </c>
    </row>
  </sheetData>
  <sortState xmlns:xlrd2="http://schemas.microsoft.com/office/spreadsheetml/2017/richdata2" ref="A2:D6">
    <sortCondition ref="A2:A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291E-206A-40A5-9152-106B84AE622B}">
  <dimension ref="A1:E6"/>
  <sheetViews>
    <sheetView workbookViewId="0">
      <selection activeCell="G12" sqref="G12"/>
    </sheetView>
  </sheetViews>
  <sheetFormatPr defaultRowHeight="14.5" outlineLevelRow="1" x14ac:dyDescent="0.35"/>
  <cols>
    <col min="1" max="1" width="14.08984375" bestFit="1" customWidth="1"/>
    <col min="2" max="2" width="14.08984375" customWidth="1"/>
    <col min="3" max="3" width="17.81640625" bestFit="1" customWidth="1"/>
    <col min="4" max="4" width="10.453125" bestFit="1" customWidth="1"/>
    <col min="5" max="5" width="12.453125" bestFit="1" customWidth="1"/>
  </cols>
  <sheetData>
    <row r="1" spans="1:5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</row>
    <row r="2" spans="1:5" x14ac:dyDescent="0.35">
      <c r="A2" t="s">
        <v>13</v>
      </c>
      <c r="B2" t="s">
        <v>22</v>
      </c>
      <c r="C2" s="3">
        <v>45219</v>
      </c>
      <c r="D2">
        <v>45000</v>
      </c>
      <c r="E2">
        <v>8</v>
      </c>
    </row>
    <row r="3" spans="1:5" outlineLevel="1" x14ac:dyDescent="0.35">
      <c r="A3" t="s">
        <v>11</v>
      </c>
      <c r="B3" t="s">
        <v>21</v>
      </c>
      <c r="C3" s="3">
        <v>44941</v>
      </c>
      <c r="D3">
        <v>60000</v>
      </c>
      <c r="E3">
        <v>12</v>
      </c>
    </row>
    <row r="4" spans="1:5" outlineLevel="1" x14ac:dyDescent="0.35">
      <c r="A4" t="s">
        <v>14</v>
      </c>
      <c r="B4" t="s">
        <v>21</v>
      </c>
      <c r="C4" s="3">
        <v>43895</v>
      </c>
      <c r="D4">
        <v>70000</v>
      </c>
      <c r="E4">
        <v>2</v>
      </c>
    </row>
    <row r="5" spans="1:5" x14ac:dyDescent="0.35">
      <c r="A5" t="s">
        <v>10</v>
      </c>
      <c r="B5" t="s">
        <v>20</v>
      </c>
      <c r="C5" s="3">
        <v>44691</v>
      </c>
      <c r="D5">
        <v>50000</v>
      </c>
      <c r="E5">
        <v>5</v>
      </c>
    </row>
    <row r="6" spans="1:5" x14ac:dyDescent="0.35">
      <c r="A6" t="s">
        <v>12</v>
      </c>
      <c r="B6" t="s">
        <v>20</v>
      </c>
      <c r="C6" s="3">
        <v>44378</v>
      </c>
      <c r="D6">
        <v>55000</v>
      </c>
      <c r="E6">
        <v>0</v>
      </c>
    </row>
  </sheetData>
  <sortState xmlns:xlrd2="http://schemas.microsoft.com/office/spreadsheetml/2017/richdata2" ref="A2:E6">
    <sortCondition ref="B2:B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5B6A-6D6D-48F9-8426-C001766ADFCC}">
  <dimension ref="A1:E10"/>
  <sheetViews>
    <sheetView tabSelected="1" workbookViewId="0">
      <selection activeCell="F14" sqref="F14"/>
    </sheetView>
  </sheetViews>
  <sheetFormatPr defaultRowHeight="14.5" outlineLevelRow="2" x14ac:dyDescent="0.35"/>
  <cols>
    <col min="1" max="1" width="14.08984375" bestFit="1" customWidth="1"/>
    <col min="2" max="2" width="11.08984375" bestFit="1" customWidth="1"/>
    <col min="3" max="3" width="10.08984375" bestFit="1" customWidth="1"/>
    <col min="4" max="4" width="10.453125" bestFit="1" customWidth="1"/>
    <col min="5" max="5" width="12.453125" bestFit="1" customWidth="1"/>
  </cols>
  <sheetData>
    <row r="1" spans="1:5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</row>
    <row r="2" spans="1:5" outlineLevel="2" x14ac:dyDescent="0.35">
      <c r="A2" t="s">
        <v>13</v>
      </c>
      <c r="B2" t="s">
        <v>22</v>
      </c>
      <c r="C2" s="3">
        <v>45219</v>
      </c>
      <c r="D2">
        <v>45000</v>
      </c>
      <c r="E2">
        <v>8</v>
      </c>
    </row>
    <row r="3" spans="1:5" outlineLevel="1" x14ac:dyDescent="0.35">
      <c r="B3" s="7" t="s">
        <v>103</v>
      </c>
      <c r="C3" s="3"/>
      <c r="D3">
        <f>SUBTOTAL(9,D2:D2)</f>
        <v>45000</v>
      </c>
    </row>
    <row r="4" spans="1:5" outlineLevel="2" x14ac:dyDescent="0.35">
      <c r="A4" t="s">
        <v>11</v>
      </c>
      <c r="B4" t="s">
        <v>21</v>
      </c>
      <c r="C4" s="3">
        <v>44941</v>
      </c>
      <c r="D4">
        <v>60000</v>
      </c>
      <c r="E4">
        <v>12</v>
      </c>
    </row>
    <row r="5" spans="1:5" outlineLevel="2" x14ac:dyDescent="0.35">
      <c r="A5" t="s">
        <v>14</v>
      </c>
      <c r="B5" t="s">
        <v>21</v>
      </c>
      <c r="C5" s="3">
        <v>43895</v>
      </c>
      <c r="D5">
        <v>70000</v>
      </c>
      <c r="E5">
        <v>2</v>
      </c>
    </row>
    <row r="6" spans="1:5" outlineLevel="1" x14ac:dyDescent="0.35">
      <c r="B6" s="7" t="s">
        <v>100</v>
      </c>
      <c r="C6" s="3"/>
      <c r="D6">
        <f>SUBTOTAL(9,D4:D5)</f>
        <v>130000</v>
      </c>
    </row>
    <row r="7" spans="1:5" outlineLevel="2" x14ac:dyDescent="0.35">
      <c r="A7" t="s">
        <v>10</v>
      </c>
      <c r="B7" t="s">
        <v>20</v>
      </c>
      <c r="C7" s="3">
        <v>44691</v>
      </c>
      <c r="D7">
        <v>50000</v>
      </c>
      <c r="E7">
        <v>5</v>
      </c>
    </row>
    <row r="8" spans="1:5" outlineLevel="2" x14ac:dyDescent="0.35">
      <c r="A8" t="s">
        <v>12</v>
      </c>
      <c r="B8" t="s">
        <v>20</v>
      </c>
      <c r="C8" s="3">
        <v>44378</v>
      </c>
      <c r="D8">
        <v>55000</v>
      </c>
      <c r="E8">
        <v>0</v>
      </c>
    </row>
    <row r="9" spans="1:5" outlineLevel="1" x14ac:dyDescent="0.35">
      <c r="B9" s="7" t="s">
        <v>101</v>
      </c>
      <c r="C9" s="3"/>
      <c r="D9">
        <f>SUBTOTAL(9,D7:D8)</f>
        <v>105000</v>
      </c>
    </row>
    <row r="10" spans="1:5" x14ac:dyDescent="0.35">
      <c r="B10" s="7" t="s">
        <v>102</v>
      </c>
      <c r="C10" s="3"/>
      <c r="D10">
        <f>SUBTOTAL(9,D2:D8)</f>
        <v>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EmployeeData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Sheet6!Criteria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Shuvom Dhar</cp:lastModifiedBy>
  <dcterms:created xsi:type="dcterms:W3CDTF">2025-06-26T08:34:41Z</dcterms:created>
  <dcterms:modified xsi:type="dcterms:W3CDTF">2025-09-10T11:09:21Z</dcterms:modified>
</cp:coreProperties>
</file>